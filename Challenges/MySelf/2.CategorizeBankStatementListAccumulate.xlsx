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im.niang\Downloads\"/>
    </mc:Choice>
  </mc:AlternateContent>
  <xr:revisionPtr revIDLastSave="0" documentId="13_ncr:1_{B72AB0B5-2BCB-43B8-B7E2-A8E176159BC9}" xr6:coauthVersionLast="47" xr6:coauthVersionMax="47" xr10:uidLastSave="{00000000-0000-0000-0000-000000000000}"/>
  <bookViews>
    <workbookView xWindow="-15990" yWindow="-16320" windowWidth="29040" windowHeight="15720" firstSheet="1" activeTab="1" xr2:uid="{C7546819-8F5F-4CD8-8402-63637B8BBCB8}"/>
  </bookViews>
  <sheets>
    <sheet name="TransactionLookups" sheetId="4" state="hidden" r:id="rId1"/>
    <sheet name="SourceData" sheetId="1" r:id="rId2"/>
    <sheet name="Transactions" sheetId="6" r:id="rId3"/>
  </sheets>
  <definedNames>
    <definedName name="ExternalData_1" localSheetId="0" hidden="1">TransactionLookups!$B$1:$C$16</definedName>
    <definedName name="ExternalData_1" localSheetId="2" hidden="1">Transactions!$A$1:$E$22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4" l="1"/>
  <c r="A10" i="4" s="1"/>
  <c r="A11" i="4" s="1"/>
  <c r="A12" i="4" s="1"/>
  <c r="A13" i="4" s="1"/>
  <c r="A14" i="4" s="1"/>
  <c r="A15" i="4" s="1"/>
  <c r="A16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AEADF2-8322-44BD-B55E-2E6BA5E3D481}" keepAlive="1" name="Query - TransactionLookups" description="Connection to the 'TransactionLookups' query in the workbook." type="5" refreshedVersion="8" background="1" saveData="1">
    <dbPr connection="Provider=Microsoft.Mashup.OleDb.1;Data Source=$Workbook$;Location=TransactionLookups;Extended Properties=&quot;&quot;" command="SELECT * FROM [TransactionLookups]"/>
  </connection>
  <connection id="2" xr16:uid="{249C5125-3EF1-4D29-8007-000C40FEB23B}" keepAlive="1" name="Query - Transactions" description="Connection to the 'Transactions' query in the workbook." type="5" refreshedVersion="8" background="1" saveData="1">
    <dbPr connection="Provider=Microsoft.Mashup.OleDb.1;Data Source=$Workbook$;Location=Transactions;Extended Properties=&quot;&quot;" command="SELECT * FROM [Transactions]"/>
  </connection>
</connections>
</file>

<file path=xl/sharedStrings.xml><?xml version="1.0" encoding="utf-8"?>
<sst xmlns="http://schemas.openxmlformats.org/spreadsheetml/2006/main" count="136" uniqueCount="46">
  <si>
    <t>Date</t>
  </si>
  <si>
    <t>Description</t>
  </si>
  <si>
    <t>Amount</t>
  </si>
  <si>
    <t>Balance</t>
  </si>
  <si>
    <t>KeyWord</t>
  </si>
  <si>
    <t>Mapping</t>
  </si>
  <si>
    <t>Cloudways</t>
  </si>
  <si>
    <t>Internet Hosting</t>
  </si>
  <si>
    <t>Peninsula</t>
  </si>
  <si>
    <t>Entertainment</t>
  </si>
  <si>
    <t>WOOLWORTHS</t>
  </si>
  <si>
    <t>Groceries</t>
  </si>
  <si>
    <t>VOVO</t>
  </si>
  <si>
    <t xml:space="preserve">Chef Daddy </t>
  </si>
  <si>
    <t>Cartel Cafe</t>
  </si>
  <si>
    <t>OBSIDIAN</t>
  </si>
  <si>
    <t>subscription</t>
  </si>
  <si>
    <t>uber</t>
  </si>
  <si>
    <t>Transport</t>
  </si>
  <si>
    <t xml:space="preserve">SONGSTERR </t>
  </si>
  <si>
    <t xml:space="preserve">CHATGPT </t>
  </si>
  <si>
    <t>SpotifyZA</t>
  </si>
  <si>
    <t xml:space="preserve">Bootlegger </t>
  </si>
  <si>
    <t xml:space="preserve">Camps Bay </t>
  </si>
  <si>
    <t>Research</t>
  </si>
  <si>
    <t>TELO</t>
  </si>
  <si>
    <t>MICROSOFT</t>
  </si>
  <si>
    <t>Entertainment, Research</t>
  </si>
  <si>
    <t xml:space="preserve">Cloudways                AMSTERDAM    NL  </t>
  </si>
  <si>
    <t xml:space="preserve">The Peninsula All Suit   Camps Bay    ZA  </t>
  </si>
  <si>
    <t xml:space="preserve">MICROSOFT#G081904923     MSBILL.INFO  IE  </t>
  </si>
  <si>
    <t xml:space="preserve">WOOLWORTHS               CAPE TOWN    ZA  </t>
  </si>
  <si>
    <t xml:space="preserve">Yoco   *Chef Daddy       Cape Town    ZA  </t>
  </si>
  <si>
    <t xml:space="preserve">https://www.uber.com/z   CAPE TOWN    ZA  </t>
  </si>
  <si>
    <t xml:space="preserve">OPENAI *CHATGPT SUBSCR   OPENAI.COM   US  </t>
  </si>
  <si>
    <t xml:space="preserve">https://www.uber.com/z   JOHANNESBURG ZA  </t>
  </si>
  <si>
    <t xml:space="preserve">SONGSTERR                608ewewrwe6621680   US  </t>
  </si>
  <si>
    <t xml:space="preserve">SONGSTERR                608662t341680   US  </t>
  </si>
  <si>
    <t xml:space="preserve">OBSIDIAN.MD              OAKVILLE NORTCA 74083426183228 </t>
  </si>
  <si>
    <t xml:space="preserve">Yoco   *Cartel Cafe      Cape Town    ZA 7455070111326003115 </t>
  </si>
  <si>
    <t xml:space="preserve">VOVO TELO                CAPE TOWN    ZA 749229001520036310 </t>
  </si>
  <si>
    <t xml:space="preserve">Yoco   *Bootlegger XS    Cape Town    ZA 745654650701003177 </t>
  </si>
  <si>
    <t xml:space="preserve">SpotifyZA                Stockholm    SE 74505074001326501094 </t>
  </si>
  <si>
    <t xml:space="preserve">The Peninsula All Suit   Camps Bay    ZA 7406724507614580101 </t>
  </si>
  <si>
    <t>Category</t>
  </si>
  <si>
    <t>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</si>
</sst>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DE3B635-1247-4923-9F87-B7A909DA8394}" autoFormatId="16" applyNumberFormats="0" applyBorderFormats="0" applyFontFormats="0" applyPatternFormats="0" applyAlignmentFormats="0" applyWidthHeightFormats="0">
  <queryTableRefresh nextId="3">
    <queryTableFields count="2">
      <queryTableField id="1" name="KeyWord" tableColumnId="1"/>
      <queryTableField id="2" name="Mapping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E88A876-EE7E-4BEE-BF20-25BE908102E3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Description" tableColumnId="2"/>
      <queryTableField id="3" name="Amount" tableColumnId="3"/>
      <queryTableField id="4" name="Balance" tableColumnId="4"/>
      <queryTableField id="5" name="Category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DF3AD6-4C19-4CCF-8D1F-58E81CC55366}" name="TransactionLookups" displayName="TransactionLookups" ref="B1:C16" tableType="queryTable" totalsRowShown="0">
  <autoFilter ref="B1:C16" xr:uid="{83DF3AD6-4C19-4CCF-8D1F-58E81CC55366}"/>
  <tableColumns count="2">
    <tableColumn id="1" xr3:uid="{5BF71CAE-D203-42C5-AB0F-ACE5DB27A12C}" uniqueName="1" name="KeyWord" queryTableFieldId="1" dataDxfId="2"/>
    <tableColumn id="2" xr3:uid="{CAAFDC74-4850-4212-B776-3CA7F64F4702}" uniqueName="2" name="Mapping" queryTableFieldId="2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DA1BA6-0010-4F3F-A481-C588189F75D2}" name="Table1" displayName="Table1" ref="A1:D22" totalsRowShown="0">
  <autoFilter ref="A1:D22" xr:uid="{C8DA1BA6-0010-4F3F-A481-C588189F75D2}"/>
  <tableColumns count="4">
    <tableColumn id="1" xr3:uid="{A77FF7FE-D2FF-491E-AEE8-CE9D4C538B51}" name="Date"/>
    <tableColumn id="2" xr3:uid="{50FD6511-460B-4A86-9040-D67DFEEE9D20}" name="Description"/>
    <tableColumn id="3" xr3:uid="{C7E255A7-6941-4D5F-A55E-0C514B98A93B}" name="Amount"/>
    <tableColumn id="4" xr3:uid="{B1903502-82DC-4D25-8FDB-9CA1762319F0}" name="Balance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AD1404-A245-41C0-9B74-839B7033C65D}" name="Table2" displayName="Table2" ref="F1:G16" totalsRowShown="0">
  <autoFilter ref="F1:G16" xr:uid="{1CAD1404-A245-41C0-9B74-839B7033C65D}"/>
  <tableColumns count="2">
    <tableColumn id="1" xr3:uid="{4AE75274-37D3-40AB-B2B5-EFFBEFE1661F}" name="KeyWord"/>
    <tableColumn id="2" xr3:uid="{4D1E4382-E0DA-44A1-BC4B-8240DE8ADC08}" name="Mapping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5FC5DE-69E9-49EE-A387-5BC1B70DD138}" name="Transactions_1" displayName="Transactions_1" ref="A1:E22" tableType="queryTable" totalsRowShown="0">
  <autoFilter ref="A1:E22" xr:uid="{795FC5DE-69E9-49EE-A387-5BC1B70DD138}"/>
  <tableColumns count="5">
    <tableColumn id="1" xr3:uid="{4E7B156F-7ED3-45C6-92C3-47763BBF93F0}" uniqueName="1" name="Date" queryTableFieldId="1"/>
    <tableColumn id="2" xr3:uid="{51AF2CB2-3B0D-4F12-8539-658E1BC690ED}" uniqueName="2" name="Description" queryTableFieldId="2" dataDxfId="0"/>
    <tableColumn id="3" xr3:uid="{483A778B-32E7-4F67-B659-7E383F81F3D3}" uniqueName="3" name="Amount" queryTableFieldId="3"/>
    <tableColumn id="4" xr3:uid="{D7C3C004-7939-4523-A76B-3579A3314EFA}" uniqueName="4" name="Balance" queryTableFieldId="4"/>
    <tableColumn id="5" xr3:uid="{A3057D6C-91F9-48DF-9407-E66466AF5CCD}" uniqueName="5" name="Category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https://www.uber.com/z%20%20%20JOHANNESBURG%20ZA" TargetMode="External"/><Relationship Id="rId1" Type="http://schemas.openxmlformats.org/officeDocument/2006/relationships/hyperlink" Target="https://www.uber.com/z%20%20%20CAPE%20TOWN%20%20%20%20ZA" TargetMode="Externa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693FB-0544-4BBC-B1EC-63B98935E677}">
  <dimension ref="A1:C16"/>
  <sheetViews>
    <sheetView workbookViewId="0">
      <selection activeCell="F44" sqref="F44"/>
    </sheetView>
  </sheetViews>
  <sheetFormatPr defaultRowHeight="14.4" x14ac:dyDescent="0.3"/>
  <cols>
    <col min="2" max="2" width="14.109375" bestFit="1" customWidth="1"/>
    <col min="3" max="3" width="15" bestFit="1" customWidth="1"/>
  </cols>
  <sheetData>
    <row r="1" spans="1:3" x14ac:dyDescent="0.3">
      <c r="B1" t="s">
        <v>4</v>
      </c>
      <c r="C1" t="s">
        <v>5</v>
      </c>
    </row>
    <row r="2" spans="1:3" x14ac:dyDescent="0.3">
      <c r="A2">
        <v>0</v>
      </c>
      <c r="B2" t="s">
        <v>6</v>
      </c>
      <c r="C2" t="s">
        <v>7</v>
      </c>
    </row>
    <row r="3" spans="1:3" x14ac:dyDescent="0.3">
      <c r="A3">
        <v>1</v>
      </c>
      <c r="B3" t="s">
        <v>8</v>
      </c>
      <c r="C3" t="s">
        <v>9</v>
      </c>
    </row>
    <row r="4" spans="1:3" x14ac:dyDescent="0.3">
      <c r="A4">
        <v>2</v>
      </c>
      <c r="B4" t="s">
        <v>10</v>
      </c>
      <c r="C4" t="s">
        <v>11</v>
      </c>
    </row>
    <row r="5" spans="1:3" x14ac:dyDescent="0.3">
      <c r="A5">
        <v>3</v>
      </c>
      <c r="B5" t="s">
        <v>12</v>
      </c>
      <c r="C5" t="s">
        <v>9</v>
      </c>
    </row>
    <row r="6" spans="1:3" x14ac:dyDescent="0.3">
      <c r="A6">
        <v>4</v>
      </c>
      <c r="B6" t="s">
        <v>13</v>
      </c>
      <c r="C6" t="s">
        <v>9</v>
      </c>
    </row>
    <row r="7" spans="1:3" x14ac:dyDescent="0.3">
      <c r="A7">
        <v>5</v>
      </c>
      <c r="B7" t="s">
        <v>14</v>
      </c>
      <c r="C7" t="s">
        <v>9</v>
      </c>
    </row>
    <row r="8" spans="1:3" x14ac:dyDescent="0.3">
      <c r="A8">
        <v>6</v>
      </c>
      <c r="B8" t="s">
        <v>15</v>
      </c>
      <c r="C8" t="s">
        <v>16</v>
      </c>
    </row>
    <row r="9" spans="1:3" x14ac:dyDescent="0.3">
      <c r="A9">
        <f>A8+1</f>
        <v>7</v>
      </c>
      <c r="B9" t="s">
        <v>17</v>
      </c>
      <c r="C9" t="s">
        <v>18</v>
      </c>
    </row>
    <row r="10" spans="1:3" x14ac:dyDescent="0.3">
      <c r="A10">
        <f t="shared" ref="A10:A16" si="0">A9+1</f>
        <v>8</v>
      </c>
      <c r="B10" t="s">
        <v>19</v>
      </c>
      <c r="C10" t="s">
        <v>16</v>
      </c>
    </row>
    <row r="11" spans="1:3" x14ac:dyDescent="0.3">
      <c r="A11">
        <f t="shared" si="0"/>
        <v>9</v>
      </c>
      <c r="B11" t="s">
        <v>20</v>
      </c>
      <c r="C11" t="s">
        <v>16</v>
      </c>
    </row>
    <row r="12" spans="1:3" x14ac:dyDescent="0.3">
      <c r="A12">
        <f t="shared" si="0"/>
        <v>10</v>
      </c>
      <c r="B12" t="s">
        <v>21</v>
      </c>
      <c r="C12" t="s">
        <v>16</v>
      </c>
    </row>
    <row r="13" spans="1:3" x14ac:dyDescent="0.3">
      <c r="A13">
        <f t="shared" si="0"/>
        <v>11</v>
      </c>
      <c r="B13" t="s">
        <v>22</v>
      </c>
      <c r="C13" t="s">
        <v>9</v>
      </c>
    </row>
    <row r="14" spans="1:3" x14ac:dyDescent="0.3">
      <c r="A14">
        <f t="shared" si="0"/>
        <v>12</v>
      </c>
      <c r="B14" t="s">
        <v>23</v>
      </c>
      <c r="C14" t="s">
        <v>24</v>
      </c>
    </row>
    <row r="15" spans="1:3" x14ac:dyDescent="0.3">
      <c r="A15">
        <f t="shared" si="0"/>
        <v>13</v>
      </c>
      <c r="B15" t="s">
        <v>25</v>
      </c>
      <c r="C15" t="s">
        <v>9</v>
      </c>
    </row>
    <row r="16" spans="1:3" x14ac:dyDescent="0.3">
      <c r="A16">
        <f t="shared" si="0"/>
        <v>14</v>
      </c>
      <c r="B16" t="s">
        <v>26</v>
      </c>
      <c r="C16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56F39-9F2E-4227-9737-A67D71027D2E}">
  <dimension ref="A1:G22"/>
  <sheetViews>
    <sheetView showGridLines="0" tabSelected="1" zoomScale="85" zoomScaleNormal="85" workbookViewId="0">
      <selection activeCell="A26" sqref="A26"/>
    </sheetView>
  </sheetViews>
  <sheetFormatPr defaultRowHeight="14.4" x14ac:dyDescent="0.3"/>
  <cols>
    <col min="2" max="2" width="66.33203125" bestFit="1" customWidth="1"/>
    <col min="3" max="3" width="10" customWidth="1"/>
    <col min="4" max="4" width="10.33203125" customWidth="1"/>
    <col min="5" max="5" width="4.5546875" customWidth="1"/>
    <col min="6" max="6" width="14.109375" bestFit="1" customWidth="1"/>
    <col min="7" max="7" width="15" bestFit="1" customWidth="1"/>
    <col min="8" max="8" width="5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</row>
    <row r="2" spans="1:7" x14ac:dyDescent="0.3">
      <c r="A2">
        <v>20250310</v>
      </c>
      <c r="B2" t="s">
        <v>28</v>
      </c>
      <c r="C2">
        <v>1897</v>
      </c>
      <c r="D2">
        <v>0</v>
      </c>
      <c r="F2" t="s">
        <v>6</v>
      </c>
      <c r="G2" t="s">
        <v>7</v>
      </c>
    </row>
    <row r="3" spans="1:7" x14ac:dyDescent="0.3">
      <c r="A3">
        <v>20250310</v>
      </c>
      <c r="B3" t="s">
        <v>29</v>
      </c>
      <c r="C3">
        <v>1380</v>
      </c>
      <c r="D3">
        <v>0</v>
      </c>
      <c r="F3" t="s">
        <v>8</v>
      </c>
      <c r="G3" t="s">
        <v>9</v>
      </c>
    </row>
    <row r="4" spans="1:7" x14ac:dyDescent="0.3">
      <c r="A4">
        <v>20250310</v>
      </c>
      <c r="B4" t="s">
        <v>30</v>
      </c>
      <c r="C4">
        <v>1471</v>
      </c>
      <c r="D4">
        <v>0</v>
      </c>
      <c r="F4" t="s">
        <v>10</v>
      </c>
      <c r="G4" t="s">
        <v>11</v>
      </c>
    </row>
    <row r="5" spans="1:7" x14ac:dyDescent="0.3">
      <c r="A5">
        <v>20250310</v>
      </c>
      <c r="B5" t="s">
        <v>31</v>
      </c>
      <c r="C5">
        <v>1300</v>
      </c>
      <c r="D5">
        <v>0</v>
      </c>
      <c r="F5" t="s">
        <v>12</v>
      </c>
      <c r="G5" t="s">
        <v>9</v>
      </c>
    </row>
    <row r="6" spans="1:7" x14ac:dyDescent="0.3">
      <c r="A6">
        <v>20250311</v>
      </c>
      <c r="B6" t="s">
        <v>40</v>
      </c>
      <c r="C6">
        <v>1446</v>
      </c>
      <c r="D6">
        <v>0</v>
      </c>
      <c r="F6" t="s">
        <v>13</v>
      </c>
      <c r="G6" t="s">
        <v>9</v>
      </c>
    </row>
    <row r="7" spans="1:7" x14ac:dyDescent="0.3">
      <c r="A7">
        <v>20250311</v>
      </c>
      <c r="B7" t="s">
        <v>29</v>
      </c>
      <c r="C7">
        <v>1619</v>
      </c>
      <c r="D7">
        <v>0</v>
      </c>
      <c r="F7" t="s">
        <v>14</v>
      </c>
      <c r="G7" t="s">
        <v>9</v>
      </c>
    </row>
    <row r="8" spans="1:7" x14ac:dyDescent="0.3">
      <c r="A8">
        <v>20250311</v>
      </c>
      <c r="B8" t="s">
        <v>32</v>
      </c>
      <c r="C8">
        <v>1195</v>
      </c>
      <c r="D8">
        <v>0</v>
      </c>
      <c r="F8" t="s">
        <v>15</v>
      </c>
      <c r="G8" t="s">
        <v>16</v>
      </c>
    </row>
    <row r="9" spans="1:7" x14ac:dyDescent="0.3">
      <c r="A9">
        <v>20250311</v>
      </c>
      <c r="B9" t="s">
        <v>39</v>
      </c>
      <c r="C9">
        <v>1973</v>
      </c>
      <c r="D9">
        <v>0</v>
      </c>
      <c r="F9" t="s">
        <v>17</v>
      </c>
      <c r="G9" t="s">
        <v>18</v>
      </c>
    </row>
    <row r="10" spans="1:7" x14ac:dyDescent="0.3">
      <c r="A10">
        <v>20250312</v>
      </c>
      <c r="B10" t="s">
        <v>29</v>
      </c>
      <c r="C10">
        <v>1766</v>
      </c>
      <c r="D10">
        <v>0</v>
      </c>
      <c r="F10" t="s">
        <v>19</v>
      </c>
      <c r="G10" t="s">
        <v>16</v>
      </c>
    </row>
    <row r="11" spans="1:7" x14ac:dyDescent="0.3">
      <c r="A11">
        <v>20250313</v>
      </c>
      <c r="B11" t="s">
        <v>38</v>
      </c>
      <c r="C11">
        <v>1439</v>
      </c>
      <c r="D11">
        <v>0</v>
      </c>
      <c r="F11" t="s">
        <v>20</v>
      </c>
      <c r="G11" t="s">
        <v>16</v>
      </c>
    </row>
    <row r="12" spans="1:7" x14ac:dyDescent="0.3">
      <c r="A12">
        <v>20250313</v>
      </c>
      <c r="B12" t="s">
        <v>31</v>
      </c>
      <c r="C12">
        <v>1124</v>
      </c>
      <c r="D12">
        <v>0</v>
      </c>
      <c r="F12" t="s">
        <v>21</v>
      </c>
      <c r="G12" t="s">
        <v>16</v>
      </c>
    </row>
    <row r="13" spans="1:7" x14ac:dyDescent="0.3">
      <c r="A13">
        <v>20250314</v>
      </c>
      <c r="B13" s="1" t="s">
        <v>33</v>
      </c>
      <c r="C13">
        <v>1465</v>
      </c>
      <c r="D13">
        <v>0</v>
      </c>
      <c r="F13" t="s">
        <v>22</v>
      </c>
      <c r="G13" t="s">
        <v>9</v>
      </c>
    </row>
    <row r="14" spans="1:7" x14ac:dyDescent="0.3">
      <c r="A14">
        <v>20250314</v>
      </c>
      <c r="B14" t="s">
        <v>37</v>
      </c>
      <c r="C14">
        <v>1638</v>
      </c>
      <c r="D14">
        <v>0</v>
      </c>
      <c r="F14" t="s">
        <v>23</v>
      </c>
      <c r="G14" t="s">
        <v>24</v>
      </c>
    </row>
    <row r="15" spans="1:7" x14ac:dyDescent="0.3">
      <c r="A15">
        <v>20250314</v>
      </c>
      <c r="B15" t="s">
        <v>36</v>
      </c>
      <c r="C15">
        <v>1803</v>
      </c>
      <c r="D15">
        <v>0</v>
      </c>
      <c r="F15" t="s">
        <v>25</v>
      </c>
      <c r="G15" t="s">
        <v>9</v>
      </c>
    </row>
    <row r="16" spans="1:7" x14ac:dyDescent="0.3">
      <c r="A16">
        <v>20250315</v>
      </c>
      <c r="B16" t="s">
        <v>29</v>
      </c>
      <c r="C16">
        <v>1317</v>
      </c>
      <c r="D16">
        <v>0</v>
      </c>
      <c r="F16" t="s">
        <v>26</v>
      </c>
      <c r="G16" t="s">
        <v>16</v>
      </c>
    </row>
    <row r="17" spans="1:4" x14ac:dyDescent="0.3">
      <c r="A17">
        <v>20250315</v>
      </c>
      <c r="B17" t="s">
        <v>34</v>
      </c>
      <c r="C17">
        <v>1267</v>
      </c>
      <c r="D17">
        <v>0</v>
      </c>
    </row>
    <row r="18" spans="1:4" x14ac:dyDescent="0.3">
      <c r="A18">
        <v>20250317</v>
      </c>
      <c r="B18" s="1" t="s">
        <v>35</v>
      </c>
      <c r="C18">
        <v>1841</v>
      </c>
      <c r="D18">
        <v>0</v>
      </c>
    </row>
    <row r="19" spans="1:4" x14ac:dyDescent="0.3">
      <c r="A19">
        <v>20250317</v>
      </c>
      <c r="B19" t="s">
        <v>29</v>
      </c>
      <c r="C19">
        <v>1625</v>
      </c>
      <c r="D19">
        <v>0</v>
      </c>
    </row>
    <row r="20" spans="1:4" x14ac:dyDescent="0.3">
      <c r="A20">
        <v>20250317</v>
      </c>
      <c r="B20" t="s">
        <v>41</v>
      </c>
      <c r="C20">
        <v>1244</v>
      </c>
      <c r="D20">
        <v>0</v>
      </c>
    </row>
    <row r="21" spans="1:4" x14ac:dyDescent="0.3">
      <c r="A21">
        <v>20250317</v>
      </c>
      <c r="B21" t="s">
        <v>42</v>
      </c>
      <c r="C21">
        <v>1073</v>
      </c>
      <c r="D21">
        <v>0</v>
      </c>
    </row>
    <row r="22" spans="1:4" x14ac:dyDescent="0.3">
      <c r="A22">
        <v>20250318</v>
      </c>
      <c r="B22" t="s">
        <v>43</v>
      </c>
      <c r="C22">
        <v>1621</v>
      </c>
      <c r="D22">
        <v>0</v>
      </c>
    </row>
  </sheetData>
  <hyperlinks>
    <hyperlink ref="B13" r:id="rId1" xr:uid="{05E1D10B-CDE7-4983-930C-6B81F2FDACEB}"/>
    <hyperlink ref="B18" r:id="rId2" xr:uid="{9477967F-4C2C-4D32-B39D-6E997485E161}"/>
  </hyperlinks>
  <pageMargins left="0.7" right="0.7" top="0.75" bottom="0.75" header="0.3" footer="0.3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E08B-84C8-4B80-B933-B283D01147FF}">
  <dimension ref="A1:E22"/>
  <sheetViews>
    <sheetView workbookViewId="0"/>
  </sheetViews>
  <sheetFormatPr defaultRowHeight="14.4" x14ac:dyDescent="0.3"/>
  <cols>
    <col min="1" max="1" width="9" bestFit="1" customWidth="1"/>
    <col min="2" max="2" width="54.5546875" bestFit="1" customWidth="1"/>
    <col min="3" max="4" width="10" bestFit="1" customWidth="1"/>
    <col min="5" max="5" width="22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44</v>
      </c>
    </row>
    <row r="2" spans="1:5" x14ac:dyDescent="0.3">
      <c r="A2">
        <v>20250310</v>
      </c>
      <c r="B2" s="2" t="s">
        <v>28</v>
      </c>
      <c r="C2">
        <v>1897</v>
      </c>
      <c r="D2">
        <v>0</v>
      </c>
      <c r="E2" t="s">
        <v>7</v>
      </c>
    </row>
    <row r="3" spans="1:5" x14ac:dyDescent="0.3">
      <c r="A3">
        <v>20250310</v>
      </c>
      <c r="B3" s="2" t="s">
        <v>29</v>
      </c>
      <c r="C3">
        <v>1380</v>
      </c>
      <c r="D3">
        <v>0</v>
      </c>
      <c r="E3" t="s">
        <v>27</v>
      </c>
    </row>
    <row r="4" spans="1:5" x14ac:dyDescent="0.3">
      <c r="A4">
        <v>20250310</v>
      </c>
      <c r="B4" s="2" t="s">
        <v>30</v>
      </c>
      <c r="C4">
        <v>1471</v>
      </c>
      <c r="D4">
        <v>0</v>
      </c>
      <c r="E4" t="s">
        <v>45</v>
      </c>
    </row>
    <row r="5" spans="1:5" x14ac:dyDescent="0.3">
      <c r="A5">
        <v>20250310</v>
      </c>
      <c r="B5" s="2" t="s">
        <v>31</v>
      </c>
      <c r="C5">
        <v>1300</v>
      </c>
      <c r="D5">
        <v>0</v>
      </c>
      <c r="E5" t="s">
        <v>11</v>
      </c>
    </row>
    <row r="6" spans="1:5" x14ac:dyDescent="0.3">
      <c r="A6">
        <v>20250311</v>
      </c>
      <c r="B6" s="2" t="s">
        <v>40</v>
      </c>
      <c r="C6">
        <v>1446</v>
      </c>
      <c r="D6">
        <v>0</v>
      </c>
      <c r="E6" t="s">
        <v>9</v>
      </c>
    </row>
    <row r="7" spans="1:5" x14ac:dyDescent="0.3">
      <c r="A7">
        <v>20250311</v>
      </c>
      <c r="B7" s="2" t="s">
        <v>29</v>
      </c>
      <c r="C7">
        <v>1619</v>
      </c>
      <c r="D7">
        <v>0</v>
      </c>
      <c r="E7" t="s">
        <v>27</v>
      </c>
    </row>
    <row r="8" spans="1:5" x14ac:dyDescent="0.3">
      <c r="A8">
        <v>20250311</v>
      </c>
      <c r="B8" s="2" t="s">
        <v>32</v>
      </c>
      <c r="C8">
        <v>1195</v>
      </c>
      <c r="D8">
        <v>0</v>
      </c>
      <c r="E8" t="s">
        <v>9</v>
      </c>
    </row>
    <row r="9" spans="1:5" x14ac:dyDescent="0.3">
      <c r="A9">
        <v>20250311</v>
      </c>
      <c r="B9" s="2" t="s">
        <v>39</v>
      </c>
      <c r="C9">
        <v>1973</v>
      </c>
      <c r="D9">
        <v>0</v>
      </c>
      <c r="E9" t="s">
        <v>9</v>
      </c>
    </row>
    <row r="10" spans="1:5" x14ac:dyDescent="0.3">
      <c r="A10">
        <v>20250312</v>
      </c>
      <c r="B10" s="2" t="s">
        <v>29</v>
      </c>
      <c r="C10">
        <v>1766</v>
      </c>
      <c r="D10">
        <v>0</v>
      </c>
      <c r="E10" t="s">
        <v>27</v>
      </c>
    </row>
    <row r="11" spans="1:5" x14ac:dyDescent="0.3">
      <c r="A11">
        <v>20250313</v>
      </c>
      <c r="B11" s="2" t="s">
        <v>38</v>
      </c>
      <c r="C11">
        <v>1439</v>
      </c>
      <c r="D11">
        <v>0</v>
      </c>
      <c r="E11" t="s">
        <v>45</v>
      </c>
    </row>
    <row r="12" spans="1:5" x14ac:dyDescent="0.3">
      <c r="A12">
        <v>20250313</v>
      </c>
      <c r="B12" s="2" t="s">
        <v>31</v>
      </c>
      <c r="C12">
        <v>1124</v>
      </c>
      <c r="D12">
        <v>0</v>
      </c>
      <c r="E12" t="s">
        <v>11</v>
      </c>
    </row>
    <row r="13" spans="1:5" x14ac:dyDescent="0.3">
      <c r="A13">
        <v>20250314</v>
      </c>
      <c r="B13" s="2" t="s">
        <v>33</v>
      </c>
      <c r="C13">
        <v>1465</v>
      </c>
      <c r="D13">
        <v>0</v>
      </c>
      <c r="E13" t="s">
        <v>18</v>
      </c>
    </row>
    <row r="14" spans="1:5" x14ac:dyDescent="0.3">
      <c r="A14">
        <v>20250314</v>
      </c>
      <c r="B14" s="2" t="s">
        <v>37</v>
      </c>
      <c r="C14">
        <v>1638</v>
      </c>
      <c r="D14">
        <v>0</v>
      </c>
      <c r="E14" t="s">
        <v>45</v>
      </c>
    </row>
    <row r="15" spans="1:5" x14ac:dyDescent="0.3">
      <c r="A15">
        <v>20250314</v>
      </c>
      <c r="B15" s="2" t="s">
        <v>36</v>
      </c>
      <c r="C15">
        <v>1803</v>
      </c>
      <c r="D15">
        <v>0</v>
      </c>
      <c r="E15" t="s">
        <v>45</v>
      </c>
    </row>
    <row r="16" spans="1:5" x14ac:dyDescent="0.3">
      <c r="A16">
        <v>20250315</v>
      </c>
      <c r="B16" s="2" t="s">
        <v>29</v>
      </c>
      <c r="C16">
        <v>1317</v>
      </c>
      <c r="D16">
        <v>0</v>
      </c>
      <c r="E16" t="s">
        <v>27</v>
      </c>
    </row>
    <row r="17" spans="1:5" x14ac:dyDescent="0.3">
      <c r="A17">
        <v>20250315</v>
      </c>
      <c r="B17" s="2" t="s">
        <v>34</v>
      </c>
      <c r="C17">
        <v>1267</v>
      </c>
      <c r="D17">
        <v>0</v>
      </c>
      <c r="E17" t="s">
        <v>45</v>
      </c>
    </row>
    <row r="18" spans="1:5" x14ac:dyDescent="0.3">
      <c r="A18">
        <v>20250317</v>
      </c>
      <c r="B18" s="2" t="s">
        <v>35</v>
      </c>
      <c r="C18">
        <v>1841</v>
      </c>
      <c r="D18">
        <v>0</v>
      </c>
      <c r="E18" t="s">
        <v>18</v>
      </c>
    </row>
    <row r="19" spans="1:5" x14ac:dyDescent="0.3">
      <c r="A19">
        <v>20250317</v>
      </c>
      <c r="B19" s="2" t="s">
        <v>29</v>
      </c>
      <c r="C19">
        <v>1625</v>
      </c>
      <c r="D19">
        <v>0</v>
      </c>
      <c r="E19" t="s">
        <v>27</v>
      </c>
    </row>
    <row r="20" spans="1:5" x14ac:dyDescent="0.3">
      <c r="A20">
        <v>20250317</v>
      </c>
      <c r="B20" s="2" t="s">
        <v>41</v>
      </c>
      <c r="C20">
        <v>1244</v>
      </c>
      <c r="D20">
        <v>0</v>
      </c>
      <c r="E20" t="s">
        <v>9</v>
      </c>
    </row>
    <row r="21" spans="1:5" x14ac:dyDescent="0.3">
      <c r="A21">
        <v>20250317</v>
      </c>
      <c r="B21" s="2" t="s">
        <v>42</v>
      </c>
      <c r="C21">
        <v>1073</v>
      </c>
      <c r="D21">
        <v>0</v>
      </c>
      <c r="E21" t="s">
        <v>45</v>
      </c>
    </row>
    <row r="22" spans="1:5" x14ac:dyDescent="0.3">
      <c r="A22">
        <v>20250318</v>
      </c>
      <c r="B22" s="2" t="s">
        <v>43</v>
      </c>
      <c r="C22">
        <v>1621</v>
      </c>
      <c r="D22">
        <v>0</v>
      </c>
      <c r="E22" t="s">
        <v>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A38EC4-27E5-4A0C-96D3-D7A8EEBEC9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TransactionLookups</vt:lpstr>
      <vt:lpstr>SourceData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Karim Niang</cp:lastModifiedBy>
  <dcterms:created xsi:type="dcterms:W3CDTF">2025-04-08T17:05:48Z</dcterms:created>
  <dcterms:modified xsi:type="dcterms:W3CDTF">2025-11-15T20:25:51Z</dcterms:modified>
</cp:coreProperties>
</file>